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ings" sheetId="1" state="visible" r:id="rId3"/>
    <sheet name="247_base" sheetId="2" state="visible" r:id="rId4"/>
    <sheet name="materials_price_bands" sheetId="3" state="visible" r:id="rId5"/>
    <sheet name="rate_laser" sheetId="4" state="visible" r:id="rId6"/>
    <sheet name="rate_finish" sheetId="5" state="visible" r:id="rId7"/>
    <sheet name="rate_general" sheetId="6" state="visible" r:id="rId8"/>
    <sheet name="rate_leadtime" sheetId="7" state="visible" r:id="rId9"/>
    <sheet name="import_not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<sst xmlns="http://schemas.openxmlformats.org/spreadsheetml/2006/main" count="318" uniqueCount="175">
  <si>
    <t xml:space="preserve">Settings</t>
  </si>
  <si>
    <t xml:space="preserve">Yellow cells are inputs. Every price in this workbook is a formula on these cells and on the 247_base sheet.</t>
  </si>
  <si>
    <t xml:space="preserve">Setting</t>
  </si>
  <si>
    <t xml:space="preserve">Value</t>
  </si>
  <si>
    <t xml:space="preserve">Note</t>
  </si>
  <si>
    <t xml:space="preserve">markup_vs_247</t>
  </si>
  <si>
    <t xml:space="preserve">StretchMetal sells at 247TailorSteel × (1 + markup)</t>
  </si>
  <si>
    <t xml:space="preserve">target_margin_on_revenue</t>
  </si>
  <si>
    <t xml:space="preserve">Required margin on revenue; cost_at_margin columns = sell × (1 − this)</t>
  </si>
  <si>
    <t xml:space="preserve">rate_version_name</t>
  </si>
  <si>
    <t xml:space="preserve">market-247+10% v1 (26 Sep 2026)</t>
  </si>
  <si>
    <t xml:space="preserve">Name for the new row in rate_versions</t>
  </si>
  <si>
    <t xml:space="preserve">currency</t>
  </si>
  <si>
    <t xml:space="preserve">EUR</t>
  </si>
  <si>
    <t xml:space="preserve">All values EUR ex VAT</t>
  </si>
  <si>
    <t xml:space="preserve">base_lead_time_working_days</t>
  </si>
  <si>
    <t xml:space="preserve">247 standard delivery used as the base (12 Oct 2026 quotes)</t>
  </si>
  <si>
    <t xml:space="preserve">test_cut_density_m_per_dm2</t>
  </si>
  <si>
    <t xml:space="preserve">Cut length per dm² of the two parts used per material group (SQ100 → H04xD20 step); used to split the combined €/dm² into area / cut / pierce</t>
  </si>
  <si>
    <t xml:space="preserve">test_pierces_per_dm2</t>
  </si>
  <si>
    <t xml:space="preserve">Pierces per dm² of the same step</t>
  </si>
  <si>
    <t xml:space="preserve">247TailorSteel base rates (12 Oct 2026 delivery, qty 1, pickup) — fitted from quotes BE26065398/399/400</t>
  </si>
  <si>
    <t xml:space="preserve">Blue = fitted or measured; black = formula. DC01 1.5 is a joint fit of 49 prices; other groups come from two parts each (±10–20 %). Cut and pierce rates of the other groups are scaled from DC01 1.5 by machine time (assumption, editable).</t>
  </si>
  <si>
    <t xml:space="preserve">material_code</t>
  </si>
  <si>
    <t xml:space="preserve">thickness_mm</t>
  </si>
  <si>
    <t xml:space="preserve">gas</t>
  </si>
  <si>
    <t xml:space="preserve">setup per material/thickness (€)</t>
  </si>
  <si>
    <t xml:space="preserve">combined €/dm² net (incl. cutting)</t>
  </si>
  <si>
    <t xml:space="preserve">speed m/min (tool table)</t>
  </si>
  <si>
    <t xml:space="preserve">pierce s (tool table)</t>
  </si>
  <si>
    <t xml:space="preserve">cut €/m</t>
  </si>
  <si>
    <t xml:space="preserve">pierce €</t>
  </si>
  <si>
    <t xml:space="preserve">area-only €/dm²</t>
  </si>
  <si>
    <t xml:space="preserve">kg per dm²</t>
  </si>
  <si>
    <t xml:space="preserve">note</t>
  </si>
  <si>
    <t xml:space="preserve">DC01</t>
  </si>
  <si>
    <t xml:space="preserve">N2</t>
  </si>
  <si>
    <t xml:space="preserve">Two-part group; cut €/m ∝ 1/speed and pierce € ∝ pierce time vs DC01 1.5 (assumption); area = combined − cut − pierce share</t>
  </si>
  <si>
    <t xml:space="preserve">Joint fit: area, cut and pierce fitted separately (RMSE €0.26)</t>
  </si>
  <si>
    <t xml:space="preserve">O2</t>
  </si>
  <si>
    <t xml:space="preserve">S235</t>
  </si>
  <si>
    <t xml:space="preserve">1.4301</t>
  </si>
  <si>
    <t xml:space="preserve">AlMg3</t>
  </si>
  <si>
    <t xml:space="preserve">item</t>
  </si>
  <si>
    <t xml:space="preserve">value</t>
  </si>
  <si>
    <t xml:space="preserve">order_charge_eur</t>
  </si>
  <si>
    <t xml:space="preserve">Per order, shared by all part lines</t>
  </si>
  <si>
    <t xml:space="preserve">deburr_setup_per_order_eur</t>
  </si>
  <si>
    <t xml:space="preserve">Edge breaking both sides: shared by the edge-broken lines</t>
  </si>
  <si>
    <t xml:space="preserve">deburr_per_m_eur</t>
  </si>
  <si>
    <t xml:space="preserve">per m of cut length of the edge-broken part</t>
  </si>
  <si>
    <t xml:space="preserve">engrave_per_part_eur</t>
  </si>
  <si>
    <t xml:space="preserve">Part name engraved</t>
  </si>
  <si>
    <t xml:space="preserve">packaging_box_eur</t>
  </si>
  <si>
    <t xml:space="preserve">Small order (test 1)</t>
  </si>
  <si>
    <t xml:space="preserve">packaging_pallet_eur</t>
  </si>
  <si>
    <t xml:space="preserve">Average of €29.11 (test 2) and €33.44 (test 3)</t>
  </si>
  <si>
    <t xml:space="preserve">leadtime_mult_11wd</t>
  </si>
  <si>
    <t xml:space="preserve">12 Oct = base</t>
  </si>
  <si>
    <t xml:space="preserve">leadtime_mult_7wd</t>
  </si>
  <si>
    <t xml:space="preserve">6 Oct: €592.72 / €519.74 (test 3)</t>
  </si>
  <si>
    <t xml:space="preserve">leadtime_mult_4wd</t>
  </si>
  <si>
    <t xml:space="preserve">1 Oct: €889.04 / €519.74 (test 3)</t>
  </si>
  <si>
    <t xml:space="preserve">materials.price_per_kg — selling price per kg of NET part mass (holes credited), by thickness band</t>
  </si>
  <si>
    <t xml:space="preserve">Import as the price_per_kg JSON bands [{maxThicknessMm, pricePerKg}] of each material; set scrap_pct_default = 0 and price on net mass (geometry.massKg), not on the blank rectangle.</t>
  </si>
  <si>
    <t xml:space="preserve">max_thickness_mm</t>
  </si>
  <si>
    <t xml:space="preserve">price_per_kg_sell (€)</t>
  </si>
  <si>
    <t xml:space="preserve">price_per_kg_cost_at_margin (€)</t>
  </si>
  <si>
    <t xml:space="preserve">247 area-only €/dm² (base)</t>
  </si>
  <si>
    <t xml:space="preserve">source</t>
  </si>
  <si>
    <t xml:space="preserve">tested</t>
  </si>
  <si>
    <t xml:space="preserve">€/kg = area-only €/dm² × (1+markup) ÷ kg per dm² at that thickness — so the €/kg changes with thickness, as 247 does</t>
  </si>
  <si>
    <t xml:space="preserve">tested (joint fit)</t>
  </si>
  <si>
    <t xml:space="preserve">tested at 10 mm; used for 10–12.7 mm until tested</t>
  </si>
  <si>
    <t xml:space="preserve">tested at 1.5 mm only; other thicknesses untested</t>
  </si>
  <si>
    <t xml:space="preserve">Purchase prices to confirm with suppliers (current placeholders in materials table): DC01 €1.05/kg · S235 €1.10 (≤3) / €1.15 (≤8) / €1.20 (&gt;8) · 1.4301 €3.60 · AlMg3 €4.50. The cost_at_margin column is the maximum all-in cost per kg (material + cutting share) for a 30 % margin.</t>
  </si>
  <si>
    <t xml:space="preserve">rate_laser — one row per material × thickness (mode per_m); NEW column setup_eur (shared by the parts of that material/thickness in an order)</t>
  </si>
  <si>
    <t xml:space="preserve">Selling rates; the area part of the price sits in materials_price_bands. Rows marked interpolated are not tested in Sophia.</t>
  </si>
  <si>
    <t xml:space="preserve">mode</t>
  </si>
  <si>
    <t xml:space="preserve">speed_m_min</t>
  </si>
  <si>
    <t xml:space="preserve">pierce_s</t>
  </si>
  <si>
    <t xml:space="preserve">price_per_m_sell (€)</t>
  </si>
  <si>
    <t xml:space="preserve">price_per_pierce_sell (€)</t>
  </si>
  <si>
    <t xml:space="preserve">setup_eur_sell (€)</t>
  </si>
  <si>
    <t xml:space="preserve">price_per_m_cost_at_margin (€)</t>
  </si>
  <si>
    <t xml:space="preserve">price_per_pierce_cost_at_margin (€)</t>
  </si>
  <si>
    <t xml:space="preserve">setup_eur_cost_at_margin (€)</t>
  </si>
  <si>
    <t xml:space="preserve">min_contour_mm</t>
  </si>
  <si>
    <t xml:space="preserve">in_house</t>
  </si>
  <si>
    <t xml:space="preserve">placeholder</t>
  </si>
  <si>
    <t xml:space="preserve">per_m</t>
  </si>
  <si>
    <t xml:space="preserve">TRUE</t>
  </si>
  <si>
    <t xml:space="preserve">FALSE</t>
  </si>
  <si>
    <t xml:space="preserve">tested in Sophia (BE26065400)</t>
  </si>
  <si>
    <t xml:space="preserve">tested (joint fit of 49 prices)</t>
  </si>
  <si>
    <t xml:space="preserve">interpolated between 2 and 3 mm — not tested</t>
  </si>
  <si>
    <t xml:space="preserve">interpolated between 3 and 5 mm — not tested</t>
  </si>
  <si>
    <t xml:space="preserve">interpolated between 5 and 8 mm — not tested</t>
  </si>
  <si>
    <t xml:space="preserve">extrapolated from 8–10 mm — not tested; verify in Sophia</t>
  </si>
  <si>
    <t xml:space="preserve">Not covered: S235 1–2.5 mm (use the DC01 rows), 1.4301 and AlMg3 other than 1.5 mm, all tube-laser rows. The price per m here is the cutting-length part only; the area part (materials_price_bands) carries most of the price.</t>
  </si>
  <si>
    <t xml:space="preserve">rate_finish — deburring and engraving (NEW columns: setup_per_order_eur, min_part_mm)</t>
  </si>
  <si>
    <t xml:space="preserve">Deburr = edge breaking both sides. 247 refuses edge finishing below the minimum part size.</t>
  </si>
  <si>
    <t xml:space="preserve">code</t>
  </si>
  <si>
    <t xml:space="preserve">name</t>
  </si>
  <si>
    <t xml:space="preserve">unit</t>
  </si>
  <si>
    <t xml:space="preserve">price_sell (€)</t>
  </si>
  <si>
    <t xml:space="preserve">setup_per_order_sell (€)</t>
  </si>
  <si>
    <t xml:space="preserve">price_cost_at_margin (€)</t>
  </si>
  <si>
    <t xml:space="preserve">setup_per_order_cost_at_margin (€)</t>
  </si>
  <si>
    <t xml:space="preserve">rule / note</t>
  </si>
  <si>
    <t xml:space="preserve">deburr</t>
  </si>
  <si>
    <t xml:space="preserve">Edge breaking both sides</t>
  </si>
  <si>
    <t xml:space="preserve">m</t>
  </si>
  <si>
    <t xml:space="preserve">Setup shared by the edge-broken parts in the order; per m of the part's cut length. Minimum part size: steel 250 × 60 or 600 × 50 mm; aluminium/stainless 50 × 50 mm.</t>
  </si>
  <si>
    <t xml:space="preserve">engrave</t>
  </si>
  <si>
    <t xml:space="preserve">Engrave part name</t>
  </si>
  <si>
    <t xml:space="preserve">part</t>
  </si>
  <si>
    <t xml:space="preserve">247 charges per part (name engraved), not per m — unit changes from m to part</t>
  </si>
  <si>
    <t xml:space="preserve">rate_general — new and changed fields for the market rate version</t>
  </si>
  <si>
    <t xml:space="preserve">order_charge_eur and packaging are NEW columns. default_margin_pct stays for reporting only (see import_notes).</t>
  </si>
  <si>
    <t xml:space="preserve">field</t>
  </si>
  <si>
    <t xml:space="preserve">value_sell</t>
  </si>
  <si>
    <t xml:space="preserve">value_cost_at_margin</t>
  </si>
  <si>
    <t xml:space="preserve">NEW — per order, shared by all part lines</t>
  </si>
  <si>
    <t xml:space="preserve">NEW — small orders</t>
  </si>
  <si>
    <t xml:space="preserve">NEW — orders with parts &gt; ~600 mm or &gt; ~25 kg</t>
  </si>
  <si>
    <t xml:space="preserve">default_margin_pct</t>
  </si>
  <si>
    <t xml:space="preserve">Keep 30 — but in market mode it is a CHECK (1 − cost/price ≥ 30 %), not a markup on these rates</t>
  </si>
  <si>
    <t xml:space="preserve">labour_rate_eur_h</t>
  </si>
  <si>
    <t xml:space="preserve">Michael's job-costing figure (placeholder in DB is 35)</t>
  </si>
  <si>
    <t xml:space="preserve">blank_margin_mm</t>
  </si>
  <si>
    <t xml:space="preserve">Material priced on net mass — blank margin no longer used for price</t>
  </si>
  <si>
    <t xml:space="preserve">pricing_mode</t>
  </si>
  <si>
    <t xml:space="preserve">market</t>
  </si>
  <si>
    <t xml:space="preserve">NEW — market = rates are selling prices; cost = rates are costs with margin on top</t>
  </si>
  <si>
    <t xml:space="preserve">rate_leadtime — NEW table: price multiplier by promised lead time</t>
  </si>
  <si>
    <t xml:space="preserve">From 247 test 3 totals (38 parts). Applies to the whole order. 247 also offers up to 8 weeks ahead at a lower price — not tested.</t>
  </si>
  <si>
    <t xml:space="preserve">working_days</t>
  </si>
  <si>
    <t xml:space="preserve">multiplier</t>
  </si>
  <si>
    <t xml:space="preserve">12 Oct base</t>
  </si>
  <si>
    <t xml:space="preserve">Multiply the whole order price (parts, setups, order charge). StretchMetal standard lead time is 10–15 working days = base.</t>
  </si>
  <si>
    <t xml:space="preserve">6 Oct: +14 %</t>
  </si>
  <si>
    <t xml:space="preserve">1 Oct: +71 %</t>
  </si>
  <si>
    <t xml:space="preserve">How to load this into Supabase (quote.stretchmetal.pl) with Claude Code</t>
  </si>
  <si>
    <t xml:space="preserve">Sheet names = table names; column headers = column names. Columns marked NEW need a migration.</t>
  </si>
  <si>
    <t xml:space="preserve">#</t>
  </si>
  <si>
    <t xml:space="preserve">step</t>
  </si>
  <si>
    <t xml:space="preserve">detail</t>
  </si>
  <si>
    <t xml:space="preserve">1</t>
  </si>
  <si>
    <t xml:space="preserve">Create a rate version</t>
  </si>
  <si>
    <t xml:space="preserve">INSERT INTO rate_versions a row named settings!rate_version_name; copy all rate tables from the placeholder version into it, then apply the sheets below to the new version only. Keep the placeholder version untouched.</t>
  </si>
  <si>
    <t xml:space="preserve">2</t>
  </si>
  <si>
    <t xml:space="preserve">materials</t>
  </si>
  <si>
    <t xml:space="preserve">For each material_code set price_per_kg = the JSON bands from materials_price_bands (price_per_kg_sell), scrap_pct_default = 0, placeholder = false. CODE CHANGE: the material operation must use net mass (geometry.measures.massKg) instead of blank rectangle × (1 + scrap).</t>
  </si>
  <si>
    <t xml:space="preserve">3</t>
  </si>
  <si>
    <t xml:space="preserve">rate_laser</t>
  </si>
  <si>
    <t xml:space="preserve">Upsert rows (material_code, thickness_mm) with mode = per_m, price_per_m = price_per_m_sell, price_per_pierce = price_per_pierce_sell, gas, min_contour_mm, in_house = true, placeholder = false. MIGRATION: add column setup_eur numeric — charged once per material/thickness present in the quote and divided over the part lines of that material/thickness. Keep the slow-contour factor at 1.0 in this version (247 prices small holes at ≈ €0.02).</t>
  </si>
  <si>
    <t xml:space="preserve">4</t>
  </si>
  <si>
    <t xml:space="preserve">rate_finish</t>
  </si>
  <si>
    <t xml:space="preserve">Update deburr (price per m, unit m) and engrave (unit part). MIGRATION: add setup_per_order_eur numeric and min_part_mm text; deburr setup is divided over the edge-broken part lines; the tool must refuse deburring below the minimum size like Sophia does.</t>
  </si>
  <si>
    <t xml:space="preserve">5</t>
  </si>
  <si>
    <t xml:space="preserve">rate_general</t>
  </si>
  <si>
    <t xml:space="preserve">MIGRATION: add order_charge_eur, packaging_box_eur, packaging_pallet_eur numeric and pricing_mode text. In pricing_mode = market the quote price = Σ operations at these rates + setups + order charge (+ packaging) × lead-time multiplier; margin is computed afterwards as 1 − cost/price from the machine-hour cost model and shown as a check against default_margin_pct. Do NOT apply default_margin_pct on top of these rates.</t>
  </si>
  <si>
    <t xml:space="preserve">6</t>
  </si>
  <si>
    <t xml:space="preserve">rate_leadtime</t>
  </si>
  <si>
    <t xml:space="preserve">MIGRATION: new table (rate_version_id, working_days int, multiplier numeric). Quote builder picks the multiplier for the promised lead time; base = 11 working days.</t>
  </si>
  <si>
    <t xml:space="preserve">7</t>
  </si>
  <si>
    <t xml:space="preserve">Quote PDF</t>
  </si>
  <si>
    <t xml:space="preserve">Show the setups and order charge as separate lines or fold them into the part prices (247 folds them in). Packaging as a separate line.</t>
  </si>
  <si>
    <t xml:space="preserve">8</t>
  </si>
  <si>
    <t xml:space="preserve">Check</t>
  </si>
  <si>
    <t xml:space="preserve">Re-price SM-2026-0004 in the new version: every part should come out at 247 × 1.05 within ≈ €1 (see 247_pricelist.xlsx, Calculator sheet, for the actual 247 prices).</t>
  </si>
  <si>
    <t xml:space="preserve">9</t>
  </si>
  <si>
    <t xml:space="preserve">Not covered yet</t>
  </si>
  <si>
    <t xml:space="preserve">Bending, rolling, tube laser, welding, threads, powder coating — no 247 data. Bending and tube laser need STEP/TUB test files in Sophia. Until then keep the placeholder cost rates with 30 % margin for those operations.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</si>
</sst>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0"/>
    <numFmt numFmtId="167" formatCode="0.0000"/>
    <numFmt numFmtId="168" formatCode="0.000"/>
    <numFmt numFmtId="169" formatCode="0.0"/>
    <numFmt numFmtId="170" formatCode="\€#,##0.00"/>
    <numFmt numFmtId="171" formatCode="\€#,##0.000"/>
    <numFmt numFmtId="172" formatCode="0.00"/>
    <numFmt numFmtId="173" formatCode="0.0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0.1</v>
      </c>
      <c r="C5" s="6" t="s">
        <v>6</v>
      </c>
    </row>
    <row r="6" customFormat="false" ht="15" hidden="false" customHeight="false" outlineLevel="0" collapsed="false">
      <c r="A6" s="4" t="s">
        <v>7</v>
      </c>
      <c r="B6" s="5" t="n">
        <v>0.3</v>
      </c>
      <c r="C6" s="6" t="s">
        <v>8</v>
      </c>
    </row>
    <row r="7" customFormat="false" ht="15" hidden="false" customHeight="false" outlineLevel="0" collapsed="false">
      <c r="A7" s="4" t="s">
        <v>9</v>
      </c>
      <c r="B7" s="7" t="s">
        <v>10</v>
      </c>
      <c r="C7" s="6" t="s">
        <v>11</v>
      </c>
    </row>
    <row r="8" customFormat="false" ht="15" hidden="false" customHeight="false" outlineLevel="0" collapsed="false">
      <c r="A8" s="4" t="s">
        <v>12</v>
      </c>
      <c r="B8" s="7" t="s">
        <v>13</v>
      </c>
      <c r="C8" s="6" t="s">
        <v>14</v>
      </c>
    </row>
    <row r="9" customFormat="false" ht="15" hidden="false" customHeight="false" outlineLevel="0" collapsed="false">
      <c r="A9" s="4" t="s">
        <v>15</v>
      </c>
      <c r="B9" s="8" t="n">
        <v>11</v>
      </c>
      <c r="C9" s="6" t="s">
        <v>16</v>
      </c>
    </row>
    <row r="10" customFormat="false" ht="23.85" hidden="false" customHeight="false" outlineLevel="0" collapsed="false">
      <c r="A10" s="4" t="s">
        <v>17</v>
      </c>
      <c r="B10" s="9" t="n">
        <v>0.2265</v>
      </c>
      <c r="C10" s="6" t="s">
        <v>18</v>
      </c>
    </row>
    <row r="11" customFormat="false" ht="15" hidden="false" customHeight="false" outlineLevel="0" collapsed="false">
      <c r="A11" s="4" t="s">
        <v>19</v>
      </c>
      <c r="B11" s="10" t="n">
        <v>1.392</v>
      </c>
      <c r="C11" s="6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6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11" min="9" style="0" width="14"/>
    <col collapsed="false" customWidth="true" hidden="false" outlineLevel="0" max="12" min="12" style="0" width="44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4" customFormat="false" ht="42" hidden="false" customHeight="true" outlineLevel="0" collapsed="false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  <c r="L4" s="3" t="s">
        <v>34</v>
      </c>
    </row>
    <row r="5" customFormat="false" ht="35.05" hidden="false" customHeight="false" outlineLevel="0" collapsed="false">
      <c r="A5" s="11" t="s">
        <v>35</v>
      </c>
      <c r="B5" s="12" t="n">
        <v>1</v>
      </c>
      <c r="C5" s="11" t="s">
        <v>36</v>
      </c>
      <c r="D5" s="13" t="n">
        <v>49.39</v>
      </c>
      <c r="E5" s="14" t="n">
        <v>0.609</v>
      </c>
      <c r="F5" s="15" t="n">
        <v>25</v>
      </c>
      <c r="G5" s="15" t="n">
        <v>0.2</v>
      </c>
      <c r="H5" s="16" t="n">
        <f aca="false">$H$6*$F$6/F5</f>
        <v>0.17794</v>
      </c>
      <c r="I5" s="16" t="n">
        <f aca="false">$I$6*G5/$G$6</f>
        <v>0.0168</v>
      </c>
      <c r="J5" s="16" t="n">
        <f aca="false">E5-settings!$B$10*H5-settings!$B$11*I5</f>
        <v>0.54531099</v>
      </c>
      <c r="K5" s="17" t="n">
        <f aca="false">B5*7850/100000</f>
        <v>0.0785</v>
      </c>
      <c r="L5" s="6" t="s">
        <v>37</v>
      </c>
    </row>
    <row r="6" customFormat="false" ht="23.85" hidden="false" customHeight="false" outlineLevel="0" collapsed="false">
      <c r="A6" s="11" t="s">
        <v>35</v>
      </c>
      <c r="B6" s="12" t="n">
        <v>1.5</v>
      </c>
      <c r="C6" s="11" t="s">
        <v>36</v>
      </c>
      <c r="D6" s="13" t="n">
        <v>33.93</v>
      </c>
      <c r="E6" s="14" t="n">
        <v>0.455</v>
      </c>
      <c r="F6" s="15" t="n">
        <v>20.5</v>
      </c>
      <c r="G6" s="15" t="n">
        <v>0.25</v>
      </c>
      <c r="H6" s="14" t="n">
        <v>0.217</v>
      </c>
      <c r="I6" s="14" t="n">
        <v>0.021</v>
      </c>
      <c r="J6" s="14" t="n">
        <v>0.377</v>
      </c>
      <c r="K6" s="17" t="n">
        <f aca="false">B6*7850/100000</f>
        <v>0.11775</v>
      </c>
      <c r="L6" s="6" t="s">
        <v>38</v>
      </c>
    </row>
    <row r="7" customFormat="false" ht="35.05" hidden="false" customHeight="false" outlineLevel="0" collapsed="false">
      <c r="A7" s="11" t="s">
        <v>35</v>
      </c>
      <c r="B7" s="12" t="n">
        <v>2</v>
      </c>
      <c r="C7" s="11" t="s">
        <v>36</v>
      </c>
      <c r="D7" s="13" t="n">
        <v>31.16</v>
      </c>
      <c r="E7" s="14" t="n">
        <v>0.894</v>
      </c>
      <c r="F7" s="15" t="n">
        <v>16</v>
      </c>
      <c r="G7" s="15" t="n">
        <v>0.3</v>
      </c>
      <c r="H7" s="16" t="n">
        <f aca="false">$H$6*$F$6/F7</f>
        <v>0.27803125</v>
      </c>
      <c r="I7" s="16" t="n">
        <f aca="false">$I$6*G7/$G$6</f>
        <v>0.0252</v>
      </c>
      <c r="J7" s="16" t="n">
        <f aca="false">E7-settings!$B$10*H7-settings!$B$11*I7</f>
        <v>0.795947521875</v>
      </c>
      <c r="K7" s="17" t="n">
        <f aca="false">B7*7850/100000</f>
        <v>0.157</v>
      </c>
      <c r="L7" s="6" t="s">
        <v>37</v>
      </c>
    </row>
    <row r="8" customFormat="false" ht="35.05" hidden="false" customHeight="false" outlineLevel="0" collapsed="false">
      <c r="A8" s="11" t="s">
        <v>35</v>
      </c>
      <c r="B8" s="12" t="n">
        <v>3</v>
      </c>
      <c r="C8" s="11" t="s">
        <v>39</v>
      </c>
      <c r="D8" s="13" t="n">
        <v>36.07</v>
      </c>
      <c r="E8" s="14" t="n">
        <v>1.096</v>
      </c>
      <c r="F8" s="15" t="n">
        <v>11</v>
      </c>
      <c r="G8" s="15" t="n">
        <v>0.4</v>
      </c>
      <c r="H8" s="16" t="n">
        <f aca="false">$H$6*$F$6/F8</f>
        <v>0.404409090909091</v>
      </c>
      <c r="I8" s="16" t="n">
        <f aca="false">$I$6*G8/$G$6</f>
        <v>0.0336</v>
      </c>
      <c r="J8" s="16" t="n">
        <f aca="false">E8-settings!$B$10*H8-settings!$B$11*I8</f>
        <v>0.957630140909091</v>
      </c>
      <c r="K8" s="17" t="n">
        <f aca="false">B8*7850/100000</f>
        <v>0.2355</v>
      </c>
      <c r="L8" s="6" t="s">
        <v>37</v>
      </c>
    </row>
    <row r="9" customFormat="false" ht="35.05" hidden="false" customHeight="false" outlineLevel="0" collapsed="false">
      <c r="A9" s="11" t="s">
        <v>40</v>
      </c>
      <c r="B9" s="12" t="n">
        <v>3</v>
      </c>
      <c r="C9" s="11" t="s">
        <v>39</v>
      </c>
      <c r="D9" s="13" t="n">
        <v>29.1</v>
      </c>
      <c r="E9" s="14" t="n">
        <v>1.134</v>
      </c>
      <c r="F9" s="15" t="n">
        <v>11</v>
      </c>
      <c r="G9" s="15" t="n">
        <v>0.4</v>
      </c>
      <c r="H9" s="16" t="n">
        <f aca="false">$H$6*$F$6/F9</f>
        <v>0.404409090909091</v>
      </c>
      <c r="I9" s="16" t="n">
        <f aca="false">$I$6*G9/$G$6</f>
        <v>0.0336</v>
      </c>
      <c r="J9" s="16" t="n">
        <f aca="false">E9-settings!$B$10*H9-settings!$B$11*I9</f>
        <v>0.995630140909091</v>
      </c>
      <c r="K9" s="17" t="n">
        <f aca="false">B9*7850/100000</f>
        <v>0.2355</v>
      </c>
      <c r="L9" s="6" t="s">
        <v>37</v>
      </c>
    </row>
    <row r="10" customFormat="false" ht="35.05" hidden="false" customHeight="false" outlineLevel="0" collapsed="false">
      <c r="A10" s="11" t="s">
        <v>40</v>
      </c>
      <c r="B10" s="12" t="n">
        <v>5</v>
      </c>
      <c r="C10" s="11" t="s">
        <v>39</v>
      </c>
      <c r="D10" s="13" t="n">
        <v>25.54</v>
      </c>
      <c r="E10" s="14" t="n">
        <v>1.472</v>
      </c>
      <c r="F10" s="15" t="n">
        <v>5.5</v>
      </c>
      <c r="G10" s="15" t="n">
        <v>0.8</v>
      </c>
      <c r="H10" s="16" t="n">
        <f aca="false">$H$6*$F$6/F10</f>
        <v>0.808818181818182</v>
      </c>
      <c r="I10" s="16" t="n">
        <f aca="false">$I$6*G10/$G$6</f>
        <v>0.0672</v>
      </c>
      <c r="J10" s="16" t="n">
        <f aca="false">E10-settings!$B$10*H10-settings!$B$11*I10</f>
        <v>1.19526028181818</v>
      </c>
      <c r="K10" s="17" t="n">
        <f aca="false">B10*7850/100000</f>
        <v>0.3925</v>
      </c>
      <c r="L10" s="6" t="s">
        <v>37</v>
      </c>
    </row>
    <row r="11" customFormat="false" ht="35.05" hidden="false" customHeight="false" outlineLevel="0" collapsed="false">
      <c r="A11" s="11" t="s">
        <v>40</v>
      </c>
      <c r="B11" s="12" t="n">
        <v>8</v>
      </c>
      <c r="C11" s="11" t="s">
        <v>39</v>
      </c>
      <c r="D11" s="13" t="n">
        <v>26.71</v>
      </c>
      <c r="E11" s="14" t="n">
        <v>2.606</v>
      </c>
      <c r="F11" s="15" t="n">
        <v>3</v>
      </c>
      <c r="G11" s="15" t="n">
        <v>1.3</v>
      </c>
      <c r="H11" s="16" t="n">
        <f aca="false">$H$6*$F$6/F11</f>
        <v>1.48283333333333</v>
      </c>
      <c r="I11" s="16" t="n">
        <f aca="false">$I$6*G11/$G$6</f>
        <v>0.1092</v>
      </c>
      <c r="J11" s="16" t="n">
        <f aca="false">E11-settings!$B$10*H11-settings!$B$11*I11</f>
        <v>2.11813185</v>
      </c>
      <c r="K11" s="17" t="n">
        <f aca="false">B11*7850/100000</f>
        <v>0.628</v>
      </c>
      <c r="L11" s="6" t="s">
        <v>37</v>
      </c>
    </row>
    <row r="12" customFormat="false" ht="35.05" hidden="false" customHeight="false" outlineLevel="0" collapsed="false">
      <c r="A12" s="11" t="s">
        <v>40</v>
      </c>
      <c r="B12" s="12" t="n">
        <v>10</v>
      </c>
      <c r="C12" s="11" t="s">
        <v>39</v>
      </c>
      <c r="D12" s="13" t="n">
        <v>21.73</v>
      </c>
      <c r="E12" s="14" t="n">
        <v>2.989</v>
      </c>
      <c r="F12" s="15" t="n">
        <v>2.2</v>
      </c>
      <c r="G12" s="15" t="n">
        <v>1.6</v>
      </c>
      <c r="H12" s="16" t="n">
        <f aca="false">$H$6*$F$6/F12</f>
        <v>2.02204545454545</v>
      </c>
      <c r="I12" s="16" t="n">
        <f aca="false">$I$6*G12/$G$6</f>
        <v>0.1344</v>
      </c>
      <c r="J12" s="16" t="n">
        <f aca="false">E12-settings!$B$10*H12-settings!$B$11*I12</f>
        <v>2.34392190454545</v>
      </c>
      <c r="K12" s="17" t="n">
        <f aca="false">B12*7850/100000</f>
        <v>0.785</v>
      </c>
      <c r="L12" s="6" t="s">
        <v>37</v>
      </c>
    </row>
    <row r="13" customFormat="false" ht="35.05" hidden="false" customHeight="false" outlineLevel="0" collapsed="false">
      <c r="A13" s="11" t="s">
        <v>41</v>
      </c>
      <c r="B13" s="12" t="n">
        <v>1.5</v>
      </c>
      <c r="C13" s="11" t="s">
        <v>36</v>
      </c>
      <c r="D13" s="13" t="n">
        <v>32.24</v>
      </c>
      <c r="E13" s="14" t="n">
        <v>1.753</v>
      </c>
      <c r="F13" s="15" t="n">
        <v>14.35</v>
      </c>
      <c r="G13" s="15" t="n">
        <v>0.25</v>
      </c>
      <c r="H13" s="16" t="n">
        <f aca="false">$H$6*$F$6/F13</f>
        <v>0.31</v>
      </c>
      <c r="I13" s="16" t="n">
        <f aca="false">$I$6*G13/$G$6</f>
        <v>0.021</v>
      </c>
      <c r="J13" s="16" t="n">
        <f aca="false">E13-settings!$B$10*H13-settings!$B$11*I13</f>
        <v>1.653553</v>
      </c>
      <c r="K13" s="17" t="n">
        <f aca="false">B13*7900/100000</f>
        <v>0.1185</v>
      </c>
      <c r="L13" s="6" t="s">
        <v>37</v>
      </c>
    </row>
    <row r="14" customFormat="false" ht="35.05" hidden="false" customHeight="false" outlineLevel="0" collapsed="false">
      <c r="A14" s="11" t="s">
        <v>42</v>
      </c>
      <c r="B14" s="12" t="n">
        <v>1.5</v>
      </c>
      <c r="C14" s="11" t="s">
        <v>36</v>
      </c>
      <c r="D14" s="13" t="n">
        <v>50.12</v>
      </c>
      <c r="E14" s="14" t="n">
        <v>1.6</v>
      </c>
      <c r="F14" s="15" t="n">
        <v>14.35</v>
      </c>
      <c r="G14" s="15" t="n">
        <v>0.25</v>
      </c>
      <c r="H14" s="16" t="n">
        <f aca="false">$H$6*$F$6/F14</f>
        <v>0.31</v>
      </c>
      <c r="I14" s="16" t="n">
        <f aca="false">$I$6*G14/$G$6</f>
        <v>0.021</v>
      </c>
      <c r="J14" s="16" t="n">
        <f aca="false">E14-settings!$B$10*H14-settings!$B$11*I14</f>
        <v>1.500553</v>
      </c>
      <c r="K14" s="17" t="n">
        <f aca="false">B14*2660/100000</f>
        <v>0.0399</v>
      </c>
      <c r="L14" s="6" t="s">
        <v>37</v>
      </c>
    </row>
    <row r="16" customFormat="false" ht="30" hidden="false" customHeight="true" outlineLevel="0" collapsed="false">
      <c r="A16" s="3" t="s">
        <v>43</v>
      </c>
      <c r="B16" s="3" t="s">
        <v>44</v>
      </c>
      <c r="C16" s="3"/>
      <c r="D16" s="3"/>
      <c r="E16" s="3"/>
      <c r="F16" s="3"/>
      <c r="G16" s="3"/>
      <c r="H16" s="3"/>
      <c r="I16" s="3"/>
      <c r="J16" s="3"/>
      <c r="K16" s="3"/>
      <c r="L16" s="3" t="s">
        <v>34</v>
      </c>
    </row>
    <row r="17" customFormat="false" ht="15" hidden="false" customHeight="false" outlineLevel="0" collapsed="false">
      <c r="A17" s="4" t="s">
        <v>45</v>
      </c>
      <c r="B17" s="13" t="n">
        <v>16.26</v>
      </c>
      <c r="L17" s="6" t="s">
        <v>46</v>
      </c>
    </row>
    <row r="18" customFormat="false" ht="23.85" hidden="false" customHeight="false" outlineLevel="0" collapsed="false">
      <c r="A18" s="4" t="s">
        <v>47</v>
      </c>
      <c r="B18" s="13" t="n">
        <v>33.48</v>
      </c>
      <c r="L18" s="6" t="s">
        <v>48</v>
      </c>
    </row>
    <row r="19" customFormat="false" ht="15" hidden="false" customHeight="false" outlineLevel="0" collapsed="false">
      <c r="A19" s="4" t="s">
        <v>49</v>
      </c>
      <c r="B19" s="14" t="n">
        <v>1.173</v>
      </c>
      <c r="L19" s="6" t="s">
        <v>50</v>
      </c>
    </row>
    <row r="20" customFormat="false" ht="15" hidden="false" customHeight="false" outlineLevel="0" collapsed="false">
      <c r="A20" s="4" t="s">
        <v>51</v>
      </c>
      <c r="B20" s="13" t="n">
        <v>0.38</v>
      </c>
      <c r="L20" s="6" t="s">
        <v>52</v>
      </c>
    </row>
    <row r="21" customFormat="false" ht="15" hidden="false" customHeight="false" outlineLevel="0" collapsed="false">
      <c r="A21" s="4" t="s">
        <v>53</v>
      </c>
      <c r="B21" s="13" t="n">
        <v>2.5</v>
      </c>
      <c r="L21" s="6" t="s">
        <v>54</v>
      </c>
    </row>
    <row r="22" customFormat="false" ht="15" hidden="false" customHeight="false" outlineLevel="0" collapsed="false">
      <c r="A22" s="4" t="s">
        <v>55</v>
      </c>
      <c r="B22" s="13" t="n">
        <v>31.3</v>
      </c>
      <c r="L22" s="6" t="s">
        <v>56</v>
      </c>
    </row>
    <row r="23" customFormat="false" ht="15" hidden="false" customHeight="false" outlineLevel="0" collapsed="false">
      <c r="A23" s="4" t="s">
        <v>57</v>
      </c>
      <c r="B23" s="18" t="n">
        <v>1</v>
      </c>
      <c r="L23" s="6" t="s">
        <v>58</v>
      </c>
    </row>
    <row r="24" customFormat="false" ht="15" hidden="false" customHeight="false" outlineLevel="0" collapsed="false">
      <c r="A24" s="4" t="s">
        <v>59</v>
      </c>
      <c r="B24" s="18" t="n">
        <v>1.14</v>
      </c>
      <c r="L24" s="6" t="s">
        <v>60</v>
      </c>
    </row>
    <row r="25" customFormat="false" ht="15" hidden="false" customHeight="false" outlineLevel="0" collapsed="false">
      <c r="A25" s="4" t="s">
        <v>61</v>
      </c>
      <c r="B25" s="18" t="n">
        <v>1.711</v>
      </c>
      <c r="L25" s="6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42" hidden="false" customHeight="true" outlineLevel="0" collapsed="false">
      <c r="A4" s="3" t="s">
        <v>23</v>
      </c>
      <c r="B4" s="3" t="s">
        <v>65</v>
      </c>
      <c r="C4" s="3" t="s">
        <v>66</v>
      </c>
      <c r="D4" s="3" t="s">
        <v>67</v>
      </c>
      <c r="E4" s="3" t="s">
        <v>68</v>
      </c>
      <c r="F4" s="3" t="s">
        <v>69</v>
      </c>
      <c r="G4" s="3" t="s">
        <v>34</v>
      </c>
    </row>
    <row r="5" customFormat="false" ht="23.85" hidden="false" customHeight="false" outlineLevel="0" collapsed="false">
      <c r="A5" s="11" t="s">
        <v>35</v>
      </c>
      <c r="B5" s="12" t="n">
        <v>1</v>
      </c>
      <c r="C5" s="19" t="n">
        <f aca="false">247_base!$J$5*(1+settings!$B$5)/247_base!$K$5</f>
        <v>7.64130049681529</v>
      </c>
      <c r="D5" s="19" t="n">
        <f aca="false">C5*(1-settings!$B$6)</f>
        <v>5.3489103477707</v>
      </c>
      <c r="E5" s="16" t="n">
        <f aca="false">247_base!$J$5</f>
        <v>0.54531099</v>
      </c>
      <c r="F5" s="11" t="s">
        <v>70</v>
      </c>
      <c r="G5" s="6" t="s">
        <v>71</v>
      </c>
    </row>
    <row r="6" customFormat="false" ht="23.85" hidden="false" customHeight="false" outlineLevel="0" collapsed="false">
      <c r="A6" s="11" t="s">
        <v>35</v>
      </c>
      <c r="B6" s="12" t="n">
        <v>1.5</v>
      </c>
      <c r="C6" s="19" t="n">
        <f aca="false">247_base!$J$6*(1+settings!$B$5)/247_base!$K$6</f>
        <v>3.52186836518047</v>
      </c>
      <c r="D6" s="19" t="n">
        <f aca="false">C6*(1-settings!$B$6)</f>
        <v>2.46530785562633</v>
      </c>
      <c r="E6" s="16" t="n">
        <f aca="false">247_base!$J$6</f>
        <v>0.377</v>
      </c>
      <c r="F6" s="11" t="s">
        <v>72</v>
      </c>
      <c r="G6" s="6" t="s">
        <v>71</v>
      </c>
    </row>
    <row r="7" customFormat="false" ht="23.85" hidden="false" customHeight="false" outlineLevel="0" collapsed="false">
      <c r="A7" s="11" t="s">
        <v>35</v>
      </c>
      <c r="B7" s="12" t="n">
        <v>2</v>
      </c>
      <c r="C7" s="19" t="n">
        <f aca="false">247_base!$J$7*(1+settings!$B$5)/247_base!$K$7</f>
        <v>5.5767023825637</v>
      </c>
      <c r="D7" s="19" t="n">
        <f aca="false">C7*(1-settings!$B$6)</f>
        <v>3.90369166779459</v>
      </c>
      <c r="E7" s="16" t="n">
        <f aca="false">247_base!$J$7</f>
        <v>0.795947521875</v>
      </c>
      <c r="F7" s="11" t="s">
        <v>70</v>
      </c>
      <c r="G7" s="6" t="s">
        <v>71</v>
      </c>
    </row>
    <row r="8" customFormat="false" ht="23.85" hidden="false" customHeight="false" outlineLevel="0" collapsed="false">
      <c r="A8" s="11" t="s">
        <v>35</v>
      </c>
      <c r="B8" s="12" t="n">
        <v>3</v>
      </c>
      <c r="C8" s="19" t="n">
        <f aca="false">247_base!$J$8*(1+settings!$B$5)/247_base!$K$8</f>
        <v>4.47300702760085</v>
      </c>
      <c r="D8" s="19" t="n">
        <f aca="false">C8*(1-settings!$B$6)</f>
        <v>3.1311049193206</v>
      </c>
      <c r="E8" s="16" t="n">
        <f aca="false">247_base!$J$8</f>
        <v>0.957630140909091</v>
      </c>
      <c r="F8" s="11" t="s">
        <v>70</v>
      </c>
      <c r="G8" s="6" t="s">
        <v>71</v>
      </c>
    </row>
    <row r="9" customFormat="false" ht="23.85" hidden="false" customHeight="false" outlineLevel="0" collapsed="false">
      <c r="A9" s="11" t="s">
        <v>40</v>
      </c>
      <c r="B9" s="12" t="n">
        <v>3</v>
      </c>
      <c r="C9" s="19" t="n">
        <f aca="false">247_base!$J$9*(1+settings!$B$5)/247_base!$K$9</f>
        <v>4.65050171974522</v>
      </c>
      <c r="D9" s="19" t="n">
        <f aca="false">C9*(1-settings!$B$6)</f>
        <v>3.25535120382166</v>
      </c>
      <c r="E9" s="16" t="n">
        <f aca="false">247_base!$J$9</f>
        <v>0.995630140909091</v>
      </c>
      <c r="F9" s="11" t="s">
        <v>70</v>
      </c>
      <c r="G9" s="6" t="s">
        <v>71</v>
      </c>
    </row>
    <row r="10" customFormat="false" ht="23.85" hidden="false" customHeight="false" outlineLevel="0" collapsed="false">
      <c r="A10" s="11" t="s">
        <v>40</v>
      </c>
      <c r="B10" s="12" t="n">
        <v>5</v>
      </c>
      <c r="C10" s="19" t="n">
        <f aca="false">247_base!$J$10*(1+settings!$B$5)/247_base!$K$10</f>
        <v>3.34977403821656</v>
      </c>
      <c r="D10" s="19" t="n">
        <f aca="false">C10*(1-settings!$B$6)</f>
        <v>2.34484182675159</v>
      </c>
      <c r="E10" s="16" t="n">
        <f aca="false">247_base!$J$10</f>
        <v>1.19526028181818</v>
      </c>
      <c r="F10" s="11" t="s">
        <v>70</v>
      </c>
      <c r="G10" s="6" t="s">
        <v>71</v>
      </c>
    </row>
    <row r="11" customFormat="false" ht="23.85" hidden="false" customHeight="false" outlineLevel="0" collapsed="false">
      <c r="A11" s="11" t="s">
        <v>40</v>
      </c>
      <c r="B11" s="12" t="n">
        <v>8</v>
      </c>
      <c r="C11" s="19" t="n">
        <f aca="false">247_base!$J$11*(1+settings!$B$5)/247_base!$K$11</f>
        <v>3.7101035589172</v>
      </c>
      <c r="D11" s="19" t="n">
        <f aca="false">C11*(1-settings!$B$6)</f>
        <v>2.59707249124204</v>
      </c>
      <c r="E11" s="16" t="n">
        <f aca="false">247_base!$J$11</f>
        <v>2.11813185</v>
      </c>
      <c r="F11" s="11" t="s">
        <v>70</v>
      </c>
      <c r="G11" s="6" t="s">
        <v>71</v>
      </c>
    </row>
    <row r="12" customFormat="false" ht="23.85" hidden="false" customHeight="false" outlineLevel="0" collapsed="false">
      <c r="A12" s="11" t="s">
        <v>40</v>
      </c>
      <c r="B12" s="12" t="n">
        <v>999</v>
      </c>
      <c r="C12" s="19" t="n">
        <f aca="false">247_base!$J$12*(1+settings!$B$5)/247_base!$K$12</f>
        <v>3.28447655414013</v>
      </c>
      <c r="D12" s="19" t="n">
        <f aca="false">C12*(1-settings!$B$6)</f>
        <v>2.29913358789809</v>
      </c>
      <c r="E12" s="16" t="n">
        <f aca="false">247_base!$J$12</f>
        <v>2.34392190454545</v>
      </c>
      <c r="F12" s="11" t="s">
        <v>73</v>
      </c>
      <c r="G12" s="6" t="s">
        <v>71</v>
      </c>
    </row>
    <row r="13" customFormat="false" ht="23.85" hidden="false" customHeight="false" outlineLevel="0" collapsed="false">
      <c r="A13" s="11" t="s">
        <v>41</v>
      </c>
      <c r="B13" s="12" t="n">
        <v>999</v>
      </c>
      <c r="C13" s="19" t="n">
        <f aca="false">247_base!$J$13*(1+settings!$B$5)/247_base!$K$13</f>
        <v>15.3494371308017</v>
      </c>
      <c r="D13" s="19" t="n">
        <f aca="false">C13*(1-settings!$B$6)</f>
        <v>10.7446059915612</v>
      </c>
      <c r="E13" s="16" t="n">
        <f aca="false">247_base!$J$13</f>
        <v>1.653553</v>
      </c>
      <c r="F13" s="11" t="s">
        <v>74</v>
      </c>
      <c r="G13" s="6" t="s">
        <v>71</v>
      </c>
    </row>
    <row r="14" customFormat="false" ht="23.85" hidden="false" customHeight="false" outlineLevel="0" collapsed="false">
      <c r="A14" s="11" t="s">
        <v>42</v>
      </c>
      <c r="B14" s="12" t="n">
        <v>999</v>
      </c>
      <c r="C14" s="19" t="n">
        <f aca="false">247_base!$J$14*(1+settings!$B$5)/247_base!$K$14</f>
        <v>41.3686290726817</v>
      </c>
      <c r="D14" s="19" t="n">
        <f aca="false">C14*(1-settings!$B$6)</f>
        <v>28.9580403508772</v>
      </c>
      <c r="E14" s="16" t="n">
        <f aca="false">247_base!$J$14</f>
        <v>1.500553</v>
      </c>
      <c r="F14" s="11" t="s">
        <v>74</v>
      </c>
      <c r="G14" s="6" t="s">
        <v>71</v>
      </c>
    </row>
    <row r="16" customFormat="false" ht="30" hidden="false" customHeight="true" outlineLevel="0" collapsed="false">
      <c r="A16" s="20" t="s">
        <v>75</v>
      </c>
      <c r="B16" s="20"/>
      <c r="C16" s="20"/>
      <c r="D16" s="20"/>
      <c r="E16" s="20"/>
      <c r="F16" s="20"/>
      <c r="G16" s="20"/>
    </row>
  </sheetData>
  <mergeCells count="1"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20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50"/>
  </cols>
  <sheetData>
    <row r="1" customFormat="false" ht="17.3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4" customFormat="false" ht="42" hidden="false" customHeight="true" outlineLevel="0" collapsed="false">
      <c r="A4" s="3" t="s">
        <v>23</v>
      </c>
      <c r="B4" s="3" t="s">
        <v>24</v>
      </c>
      <c r="C4" s="3" t="s">
        <v>25</v>
      </c>
      <c r="D4" s="3" t="s">
        <v>78</v>
      </c>
      <c r="E4" s="3" t="s">
        <v>79</v>
      </c>
      <c r="F4" s="3" t="s">
        <v>80</v>
      </c>
      <c r="G4" s="3" t="s">
        <v>81</v>
      </c>
      <c r="H4" s="3" t="s">
        <v>82</v>
      </c>
      <c r="I4" s="3" t="s">
        <v>83</v>
      </c>
      <c r="J4" s="3" t="s">
        <v>84</v>
      </c>
      <c r="K4" s="3" t="s">
        <v>85</v>
      </c>
      <c r="L4" s="3" t="s">
        <v>86</v>
      </c>
      <c r="M4" s="3" t="s">
        <v>87</v>
      </c>
      <c r="N4" s="3" t="s">
        <v>88</v>
      </c>
      <c r="O4" s="3" t="s">
        <v>89</v>
      </c>
      <c r="P4" s="3" t="s">
        <v>69</v>
      </c>
    </row>
    <row r="5" customFormat="false" ht="15" hidden="false" customHeight="false" outlineLevel="0" collapsed="false">
      <c r="A5" s="11" t="s">
        <v>35</v>
      </c>
      <c r="B5" s="12" t="n">
        <v>1</v>
      </c>
      <c r="C5" s="11" t="s">
        <v>36</v>
      </c>
      <c r="D5" s="11" t="s">
        <v>90</v>
      </c>
      <c r="E5" s="21" t="n">
        <v>25</v>
      </c>
      <c r="F5" s="21" t="n">
        <v>0.2</v>
      </c>
      <c r="G5" s="16" t="n">
        <f aca="false">247_base!$H$5*(1+settings!$B$5)</f>
        <v>0.195734</v>
      </c>
      <c r="H5" s="16" t="n">
        <f aca="false">247_base!$I$5*(1+settings!$B$5)</f>
        <v>0.01848</v>
      </c>
      <c r="I5" s="19" t="n">
        <f aca="false">247_base!$D$5*(1+settings!$B$5)</f>
        <v>54.329</v>
      </c>
      <c r="J5" s="16" t="n">
        <f aca="false">G5*(1-settings!$B$6)</f>
        <v>0.1370138</v>
      </c>
      <c r="K5" s="16" t="n">
        <f aca="false">H5*(1-settings!$B$6)</f>
        <v>0.012936</v>
      </c>
      <c r="L5" s="19" t="n">
        <f aca="false">I5*(1-settings!$B$6)</f>
        <v>38.0303</v>
      </c>
      <c r="M5" s="22" t="n">
        <v>10</v>
      </c>
      <c r="N5" s="11" t="s">
        <v>91</v>
      </c>
      <c r="O5" s="11" t="s">
        <v>92</v>
      </c>
      <c r="P5" s="6" t="s">
        <v>93</v>
      </c>
    </row>
    <row r="6" customFormat="false" ht="15" hidden="false" customHeight="false" outlineLevel="0" collapsed="false">
      <c r="A6" s="11" t="s">
        <v>35</v>
      </c>
      <c r="B6" s="12" t="n">
        <v>1.5</v>
      </c>
      <c r="C6" s="11" t="s">
        <v>36</v>
      </c>
      <c r="D6" s="11" t="s">
        <v>90</v>
      </c>
      <c r="E6" s="21" t="n">
        <v>20.5</v>
      </c>
      <c r="F6" s="21" t="n">
        <v>0.25</v>
      </c>
      <c r="G6" s="16" t="n">
        <f aca="false">247_base!$H$6*(1+settings!$B$5)</f>
        <v>0.2387</v>
      </c>
      <c r="H6" s="16" t="n">
        <f aca="false">247_base!$I$6*(1+settings!$B$5)</f>
        <v>0.0231</v>
      </c>
      <c r="I6" s="19" t="n">
        <f aca="false">247_base!$D$6*(1+settings!$B$5)</f>
        <v>37.323</v>
      </c>
      <c r="J6" s="16" t="n">
        <f aca="false">G6*(1-settings!$B$6)</f>
        <v>0.16709</v>
      </c>
      <c r="K6" s="16" t="n">
        <f aca="false">H6*(1-settings!$B$6)</f>
        <v>0.01617</v>
      </c>
      <c r="L6" s="19" t="n">
        <f aca="false">I6*(1-settings!$B$6)</f>
        <v>26.1261</v>
      </c>
      <c r="M6" s="22" t="n">
        <v>15</v>
      </c>
      <c r="N6" s="11" t="s">
        <v>91</v>
      </c>
      <c r="O6" s="11" t="s">
        <v>92</v>
      </c>
      <c r="P6" s="6" t="s">
        <v>94</v>
      </c>
    </row>
    <row r="7" customFormat="false" ht="15" hidden="false" customHeight="false" outlineLevel="0" collapsed="false">
      <c r="A7" s="11" t="s">
        <v>35</v>
      </c>
      <c r="B7" s="12" t="n">
        <v>2</v>
      </c>
      <c r="C7" s="11" t="s">
        <v>36</v>
      </c>
      <c r="D7" s="11" t="s">
        <v>90</v>
      </c>
      <c r="E7" s="21" t="n">
        <v>16</v>
      </c>
      <c r="F7" s="21" t="n">
        <v>0.3</v>
      </c>
      <c r="G7" s="16" t="n">
        <f aca="false">247_base!$H$7*(1+settings!$B$5)</f>
        <v>0.305834375</v>
      </c>
      <c r="H7" s="16" t="n">
        <f aca="false">247_base!$I$7*(1+settings!$B$5)</f>
        <v>0.02772</v>
      </c>
      <c r="I7" s="19" t="n">
        <f aca="false">247_base!$D$7*(1+settings!$B$5)</f>
        <v>34.276</v>
      </c>
      <c r="J7" s="16" t="n">
        <f aca="false">G7*(1-settings!$B$6)</f>
        <v>0.2140840625</v>
      </c>
      <c r="K7" s="16" t="n">
        <f aca="false">H7*(1-settings!$B$6)</f>
        <v>0.019404</v>
      </c>
      <c r="L7" s="19" t="n">
        <f aca="false">I7*(1-settings!$B$6)</f>
        <v>23.9932</v>
      </c>
      <c r="M7" s="22" t="n">
        <v>20</v>
      </c>
      <c r="N7" s="11" t="s">
        <v>91</v>
      </c>
      <c r="O7" s="11" t="s">
        <v>92</v>
      </c>
      <c r="P7" s="6" t="s">
        <v>93</v>
      </c>
    </row>
    <row r="8" customFormat="false" ht="15" hidden="false" customHeight="false" outlineLevel="0" collapsed="false">
      <c r="A8" s="11" t="s">
        <v>35</v>
      </c>
      <c r="B8" s="12" t="n">
        <v>3</v>
      </c>
      <c r="C8" s="11" t="s">
        <v>39</v>
      </c>
      <c r="D8" s="11" t="s">
        <v>90</v>
      </c>
      <c r="E8" s="21" t="n">
        <v>11</v>
      </c>
      <c r="F8" s="21" t="n">
        <v>0.4</v>
      </c>
      <c r="G8" s="16" t="n">
        <f aca="false">247_base!$H$8*(1+settings!$B$5)</f>
        <v>0.44485</v>
      </c>
      <c r="H8" s="16" t="n">
        <f aca="false">247_base!$I$8*(1+settings!$B$5)</f>
        <v>0.03696</v>
      </c>
      <c r="I8" s="19" t="n">
        <f aca="false">247_base!$D$8*(1+settings!$B$5)</f>
        <v>39.677</v>
      </c>
      <c r="J8" s="16" t="n">
        <f aca="false">G8*(1-settings!$B$6)</f>
        <v>0.311395</v>
      </c>
      <c r="K8" s="16" t="n">
        <f aca="false">H8*(1-settings!$B$6)</f>
        <v>0.025872</v>
      </c>
      <c r="L8" s="19" t="n">
        <f aca="false">I8*(1-settings!$B$6)</f>
        <v>27.7739</v>
      </c>
      <c r="M8" s="22" t="n">
        <v>30</v>
      </c>
      <c r="N8" s="11" t="s">
        <v>91</v>
      </c>
      <c r="O8" s="11" t="s">
        <v>92</v>
      </c>
      <c r="P8" s="6" t="s">
        <v>93</v>
      </c>
    </row>
    <row r="9" customFormat="false" ht="15" hidden="false" customHeight="false" outlineLevel="0" collapsed="false">
      <c r="A9" s="11" t="s">
        <v>40</v>
      </c>
      <c r="B9" s="12" t="n">
        <v>3</v>
      </c>
      <c r="C9" s="11" t="s">
        <v>39</v>
      </c>
      <c r="D9" s="11" t="s">
        <v>90</v>
      </c>
      <c r="E9" s="21" t="n">
        <v>11</v>
      </c>
      <c r="F9" s="21" t="n">
        <v>0.4</v>
      </c>
      <c r="G9" s="16" t="n">
        <f aca="false">247_base!$H$9*(1+settings!$B$5)</f>
        <v>0.44485</v>
      </c>
      <c r="H9" s="16" t="n">
        <f aca="false">247_base!$I$9*(1+settings!$B$5)</f>
        <v>0.03696</v>
      </c>
      <c r="I9" s="19" t="n">
        <f aca="false">247_base!$D$9*(1+settings!$B$5)</f>
        <v>32.01</v>
      </c>
      <c r="J9" s="16" t="n">
        <f aca="false">G9*(1-settings!$B$6)</f>
        <v>0.311395</v>
      </c>
      <c r="K9" s="16" t="n">
        <f aca="false">H9*(1-settings!$B$6)</f>
        <v>0.025872</v>
      </c>
      <c r="L9" s="19" t="n">
        <f aca="false">I9*(1-settings!$B$6)</f>
        <v>22.407</v>
      </c>
      <c r="M9" s="22" t="n">
        <v>30</v>
      </c>
      <c r="N9" s="11" t="s">
        <v>91</v>
      </c>
      <c r="O9" s="11" t="s">
        <v>92</v>
      </c>
      <c r="P9" s="6" t="s">
        <v>93</v>
      </c>
    </row>
    <row r="10" customFormat="false" ht="15" hidden="false" customHeight="false" outlineLevel="0" collapsed="false">
      <c r="A10" s="11" t="s">
        <v>40</v>
      </c>
      <c r="B10" s="12" t="n">
        <v>5</v>
      </c>
      <c r="C10" s="11" t="s">
        <v>39</v>
      </c>
      <c r="D10" s="11" t="s">
        <v>90</v>
      </c>
      <c r="E10" s="21" t="n">
        <v>5.5</v>
      </c>
      <c r="F10" s="21" t="n">
        <v>0.8</v>
      </c>
      <c r="G10" s="16" t="n">
        <f aca="false">247_base!$H$10*(1+settings!$B$5)</f>
        <v>0.8897</v>
      </c>
      <c r="H10" s="16" t="n">
        <f aca="false">247_base!$I$10*(1+settings!$B$5)</f>
        <v>0.07392</v>
      </c>
      <c r="I10" s="19" t="n">
        <f aca="false">247_base!$D$10*(1+settings!$B$5)</f>
        <v>28.094</v>
      </c>
      <c r="J10" s="16" t="n">
        <f aca="false">G10*(1-settings!$B$6)</f>
        <v>0.62279</v>
      </c>
      <c r="K10" s="16" t="n">
        <f aca="false">H10*(1-settings!$B$6)</f>
        <v>0.051744</v>
      </c>
      <c r="L10" s="19" t="n">
        <f aca="false">I10*(1-settings!$B$6)</f>
        <v>19.6658</v>
      </c>
      <c r="M10" s="22" t="n">
        <v>50</v>
      </c>
      <c r="N10" s="11" t="s">
        <v>91</v>
      </c>
      <c r="O10" s="11" t="s">
        <v>92</v>
      </c>
      <c r="P10" s="6" t="s">
        <v>93</v>
      </c>
    </row>
    <row r="11" customFormat="false" ht="15" hidden="false" customHeight="false" outlineLevel="0" collapsed="false">
      <c r="A11" s="11" t="s">
        <v>40</v>
      </c>
      <c r="B11" s="12" t="n">
        <v>8</v>
      </c>
      <c r="C11" s="11" t="s">
        <v>39</v>
      </c>
      <c r="D11" s="11" t="s">
        <v>90</v>
      </c>
      <c r="E11" s="21" t="n">
        <v>3</v>
      </c>
      <c r="F11" s="21" t="n">
        <v>1.3</v>
      </c>
      <c r="G11" s="16" t="n">
        <f aca="false">247_base!$H$11*(1+settings!$B$5)</f>
        <v>1.63111666666667</v>
      </c>
      <c r="H11" s="16" t="n">
        <f aca="false">247_base!$I$11*(1+settings!$B$5)</f>
        <v>0.12012</v>
      </c>
      <c r="I11" s="19" t="n">
        <f aca="false">247_base!$D$11*(1+settings!$B$5)</f>
        <v>29.381</v>
      </c>
      <c r="J11" s="16" t="n">
        <f aca="false">G11*(1-settings!$B$6)</f>
        <v>1.14178166666667</v>
      </c>
      <c r="K11" s="16" t="n">
        <f aca="false">H11*(1-settings!$B$6)</f>
        <v>0.084084</v>
      </c>
      <c r="L11" s="19" t="n">
        <f aca="false">I11*(1-settings!$B$6)</f>
        <v>20.5667</v>
      </c>
      <c r="M11" s="22" t="n">
        <v>80</v>
      </c>
      <c r="N11" s="11" t="s">
        <v>91</v>
      </c>
      <c r="O11" s="11" t="s">
        <v>92</v>
      </c>
      <c r="P11" s="6" t="s">
        <v>93</v>
      </c>
    </row>
    <row r="12" customFormat="false" ht="15" hidden="false" customHeight="false" outlineLevel="0" collapsed="false">
      <c r="A12" s="11" t="s">
        <v>40</v>
      </c>
      <c r="B12" s="12" t="n">
        <v>10</v>
      </c>
      <c r="C12" s="11" t="s">
        <v>39</v>
      </c>
      <c r="D12" s="11" t="s">
        <v>90</v>
      </c>
      <c r="E12" s="21" t="n">
        <v>2.2</v>
      </c>
      <c r="F12" s="21" t="n">
        <v>1.6</v>
      </c>
      <c r="G12" s="16" t="n">
        <f aca="false">247_base!$H$12*(1+settings!$B$5)</f>
        <v>2.22425</v>
      </c>
      <c r="H12" s="16" t="n">
        <f aca="false">247_base!$I$12*(1+settings!$B$5)</f>
        <v>0.14784</v>
      </c>
      <c r="I12" s="19" t="n">
        <f aca="false">247_base!$D$12*(1+settings!$B$5)</f>
        <v>23.903</v>
      </c>
      <c r="J12" s="16" t="n">
        <f aca="false">G12*(1-settings!$B$6)</f>
        <v>1.556975</v>
      </c>
      <c r="K12" s="16" t="n">
        <f aca="false">H12*(1-settings!$B$6)</f>
        <v>0.103488</v>
      </c>
      <c r="L12" s="19" t="n">
        <f aca="false">I12*(1-settings!$B$6)</f>
        <v>16.7321</v>
      </c>
      <c r="M12" s="22" t="n">
        <v>100</v>
      </c>
      <c r="N12" s="11" t="s">
        <v>91</v>
      </c>
      <c r="O12" s="11" t="s">
        <v>92</v>
      </c>
      <c r="P12" s="6" t="s">
        <v>93</v>
      </c>
    </row>
    <row r="13" customFormat="false" ht="15" hidden="false" customHeight="false" outlineLevel="0" collapsed="false">
      <c r="A13" s="11" t="s">
        <v>41</v>
      </c>
      <c r="B13" s="12" t="n">
        <v>1.5</v>
      </c>
      <c r="C13" s="11" t="s">
        <v>36</v>
      </c>
      <c r="D13" s="11" t="s">
        <v>90</v>
      </c>
      <c r="E13" s="21" t="n">
        <v>14.35</v>
      </c>
      <c r="F13" s="21" t="n">
        <v>0.25</v>
      </c>
      <c r="G13" s="16" t="n">
        <f aca="false">247_base!$H$13*(1+settings!$B$5)</f>
        <v>0.341</v>
      </c>
      <c r="H13" s="16" t="n">
        <f aca="false">247_base!$I$13*(1+settings!$B$5)</f>
        <v>0.0231</v>
      </c>
      <c r="I13" s="19" t="n">
        <f aca="false">247_base!$D$13*(1+settings!$B$5)</f>
        <v>35.464</v>
      </c>
      <c r="J13" s="16" t="n">
        <f aca="false">G13*(1-settings!$B$6)</f>
        <v>0.2387</v>
      </c>
      <c r="K13" s="16" t="n">
        <f aca="false">H13*(1-settings!$B$6)</f>
        <v>0.01617</v>
      </c>
      <c r="L13" s="19" t="n">
        <f aca="false">I13*(1-settings!$B$6)</f>
        <v>24.8248</v>
      </c>
      <c r="M13" s="22" t="n">
        <v>15</v>
      </c>
      <c r="N13" s="11" t="s">
        <v>91</v>
      </c>
      <c r="O13" s="11" t="s">
        <v>92</v>
      </c>
      <c r="P13" s="6" t="s">
        <v>93</v>
      </c>
    </row>
    <row r="14" customFormat="false" ht="15" hidden="false" customHeight="false" outlineLevel="0" collapsed="false">
      <c r="A14" s="11" t="s">
        <v>42</v>
      </c>
      <c r="B14" s="12" t="n">
        <v>1.5</v>
      </c>
      <c r="C14" s="11" t="s">
        <v>36</v>
      </c>
      <c r="D14" s="11" t="s">
        <v>90</v>
      </c>
      <c r="E14" s="21" t="n">
        <v>14.35</v>
      </c>
      <c r="F14" s="21" t="n">
        <v>0.25</v>
      </c>
      <c r="G14" s="16" t="n">
        <f aca="false">247_base!$H$14*(1+settings!$B$5)</f>
        <v>0.341</v>
      </c>
      <c r="H14" s="16" t="n">
        <f aca="false">247_base!$I$14*(1+settings!$B$5)</f>
        <v>0.0231</v>
      </c>
      <c r="I14" s="19" t="n">
        <f aca="false">247_base!$D$14*(1+settings!$B$5)</f>
        <v>55.132</v>
      </c>
      <c r="J14" s="16" t="n">
        <f aca="false">G14*(1-settings!$B$6)</f>
        <v>0.2387</v>
      </c>
      <c r="K14" s="16" t="n">
        <f aca="false">H14*(1-settings!$B$6)</f>
        <v>0.01617</v>
      </c>
      <c r="L14" s="19" t="n">
        <f aca="false">I14*(1-settings!$B$6)</f>
        <v>38.5924</v>
      </c>
      <c r="M14" s="22" t="n">
        <v>15</v>
      </c>
      <c r="N14" s="11" t="s">
        <v>91</v>
      </c>
      <c r="O14" s="11" t="s">
        <v>92</v>
      </c>
      <c r="P14" s="6" t="s">
        <v>93</v>
      </c>
    </row>
    <row r="15" customFormat="false" ht="15" hidden="false" customHeight="false" outlineLevel="0" collapsed="false">
      <c r="A15" s="11" t="s">
        <v>35</v>
      </c>
      <c r="B15" s="12" t="n">
        <v>2.5</v>
      </c>
      <c r="C15" s="11" t="s">
        <v>36</v>
      </c>
      <c r="D15" s="11" t="s">
        <v>90</v>
      </c>
      <c r="E15" s="21" t="n">
        <v>13.5</v>
      </c>
      <c r="F15" s="21" t="n">
        <v>0.35</v>
      </c>
      <c r="G15" s="16" t="n">
        <f aca="false">G7+((2.5-2)/(3-2))*(G8-G7)</f>
        <v>0.3753421875</v>
      </c>
      <c r="H15" s="16" t="n">
        <f aca="false">H7+((2.5-2)/(3-2))*(H8-H7)</f>
        <v>0.03234</v>
      </c>
      <c r="I15" s="19" t="n">
        <f aca="false">I7+((2.5-2)/(3-2))*(I8-I7)</f>
        <v>36.9765</v>
      </c>
      <c r="J15" s="16" t="n">
        <f aca="false">G15*(1-settings!$B$6)</f>
        <v>0.26273953125</v>
      </c>
      <c r="K15" s="16" t="n">
        <f aca="false">H15*(1-settings!$B$6)</f>
        <v>0.022638</v>
      </c>
      <c r="L15" s="19" t="n">
        <f aca="false">I15*(1-settings!$B$6)</f>
        <v>25.88355</v>
      </c>
      <c r="M15" s="22" t="n">
        <v>25</v>
      </c>
      <c r="N15" s="11" t="s">
        <v>91</v>
      </c>
      <c r="O15" s="11" t="s">
        <v>92</v>
      </c>
      <c r="P15" s="6" t="s">
        <v>95</v>
      </c>
    </row>
    <row r="16" customFormat="false" ht="15" hidden="false" customHeight="false" outlineLevel="0" collapsed="false">
      <c r="A16" s="11" t="s">
        <v>40</v>
      </c>
      <c r="B16" s="12" t="n">
        <v>4</v>
      </c>
      <c r="C16" s="11" t="s">
        <v>39</v>
      </c>
      <c r="D16" s="11" t="s">
        <v>90</v>
      </c>
      <c r="E16" s="21" t="n">
        <v>7</v>
      </c>
      <c r="F16" s="21" t="n">
        <v>0.6</v>
      </c>
      <c r="G16" s="16" t="n">
        <f aca="false">G9+((4-3)/(5-3))*(G10-G9)</f>
        <v>0.667275</v>
      </c>
      <c r="H16" s="16" t="n">
        <f aca="false">H9+((4-3)/(5-3))*(H10-H9)</f>
        <v>0.05544</v>
      </c>
      <c r="I16" s="19" t="n">
        <f aca="false">I9+((4-3)/(5-3))*(I10-I9)</f>
        <v>30.052</v>
      </c>
      <c r="J16" s="16" t="n">
        <f aca="false">G16*(1-settings!$B$6)</f>
        <v>0.4670925</v>
      </c>
      <c r="K16" s="16" t="n">
        <f aca="false">H16*(1-settings!$B$6)</f>
        <v>0.038808</v>
      </c>
      <c r="L16" s="19" t="n">
        <f aca="false">I16*(1-settings!$B$6)</f>
        <v>21.0364</v>
      </c>
      <c r="M16" s="22" t="n">
        <v>40</v>
      </c>
      <c r="N16" s="11" t="s">
        <v>91</v>
      </c>
      <c r="O16" s="11" t="s">
        <v>92</v>
      </c>
      <c r="P16" s="6" t="s">
        <v>96</v>
      </c>
    </row>
    <row r="17" customFormat="false" ht="15" hidden="false" customHeight="false" outlineLevel="0" collapsed="false">
      <c r="A17" s="11" t="s">
        <v>40</v>
      </c>
      <c r="B17" s="12" t="n">
        <v>6</v>
      </c>
      <c r="C17" s="11" t="s">
        <v>39</v>
      </c>
      <c r="D17" s="11" t="s">
        <v>90</v>
      </c>
      <c r="E17" s="21" t="n">
        <v>4.5</v>
      </c>
      <c r="F17" s="21" t="n">
        <v>1</v>
      </c>
      <c r="G17" s="16" t="n">
        <f aca="false">G10+((6-5)/(8-5))*(G11-G10)</f>
        <v>1.13683888888889</v>
      </c>
      <c r="H17" s="16" t="n">
        <f aca="false">H10+((6-5)/(8-5))*(H11-H10)</f>
        <v>0.08932</v>
      </c>
      <c r="I17" s="19" t="n">
        <f aca="false">I10+((6-5)/(8-5))*(I11-I10)</f>
        <v>28.523</v>
      </c>
      <c r="J17" s="16" t="n">
        <f aca="false">G17*(1-settings!$B$6)</f>
        <v>0.795787222222222</v>
      </c>
      <c r="K17" s="16" t="n">
        <f aca="false">H17*(1-settings!$B$6)</f>
        <v>0.062524</v>
      </c>
      <c r="L17" s="19" t="n">
        <f aca="false">I17*(1-settings!$B$6)</f>
        <v>19.9661</v>
      </c>
      <c r="M17" s="22" t="n">
        <v>60</v>
      </c>
      <c r="N17" s="11" t="s">
        <v>91</v>
      </c>
      <c r="O17" s="11" t="s">
        <v>92</v>
      </c>
      <c r="P17" s="6" t="s">
        <v>97</v>
      </c>
    </row>
    <row r="18" customFormat="false" ht="15" hidden="false" customHeight="false" outlineLevel="0" collapsed="false">
      <c r="A18" s="11" t="s">
        <v>40</v>
      </c>
      <c r="B18" s="12" t="n">
        <v>12</v>
      </c>
      <c r="C18" s="11" t="s">
        <v>39</v>
      </c>
      <c r="D18" s="11" t="s">
        <v>90</v>
      </c>
      <c r="E18" s="21" t="n">
        <v>1.7</v>
      </c>
      <c r="F18" s="21" t="n">
        <v>2</v>
      </c>
      <c r="G18" s="16" t="n">
        <f aca="false">G11+((12-8)/(10-8))*(G12-G11)</f>
        <v>2.81738333333333</v>
      </c>
      <c r="H18" s="16" t="n">
        <f aca="false">H11+((12-8)/(10-8))*(H12-H11)</f>
        <v>0.17556</v>
      </c>
      <c r="I18" s="19" t="n">
        <f aca="false">I12</f>
        <v>23.903</v>
      </c>
      <c r="J18" s="16" t="n">
        <f aca="false">G18*(1-settings!$B$6)</f>
        <v>1.97216833333333</v>
      </c>
      <c r="K18" s="16" t="n">
        <f aca="false">H18*(1-settings!$B$6)</f>
        <v>0.122892</v>
      </c>
      <c r="L18" s="19" t="n">
        <f aca="false">I18*(1-settings!$B$6)</f>
        <v>16.7321</v>
      </c>
      <c r="M18" s="22" t="n">
        <v>120</v>
      </c>
      <c r="N18" s="11" t="s">
        <v>91</v>
      </c>
      <c r="O18" s="11" t="s">
        <v>92</v>
      </c>
      <c r="P18" s="6" t="s">
        <v>98</v>
      </c>
    </row>
    <row r="19" customFormat="false" ht="15" hidden="false" customHeight="false" outlineLevel="0" collapsed="false">
      <c r="A19" s="11" t="s">
        <v>40</v>
      </c>
      <c r="B19" s="12" t="n">
        <v>12.7</v>
      </c>
      <c r="C19" s="11" t="s">
        <v>39</v>
      </c>
      <c r="D19" s="11" t="s">
        <v>90</v>
      </c>
      <c r="E19" s="21" t="n">
        <v>1.5</v>
      </c>
      <c r="F19" s="21" t="n">
        <v>2.2</v>
      </c>
      <c r="G19" s="16" t="n">
        <f aca="false">G11+((12.7-8)/(10-8))*(G12-G11)</f>
        <v>3.02498</v>
      </c>
      <c r="H19" s="16" t="n">
        <f aca="false">H11+((12.7-8)/(10-8))*(H12-H11)</f>
        <v>0.185262</v>
      </c>
      <c r="I19" s="19" t="n">
        <f aca="false">I12</f>
        <v>23.903</v>
      </c>
      <c r="J19" s="16" t="n">
        <f aca="false">G19*(1-settings!$B$6)</f>
        <v>2.117486</v>
      </c>
      <c r="K19" s="16" t="n">
        <f aca="false">H19*(1-settings!$B$6)</f>
        <v>0.1296834</v>
      </c>
      <c r="L19" s="19" t="n">
        <f aca="false">I19*(1-settings!$B$6)</f>
        <v>16.7321</v>
      </c>
      <c r="M19" s="22" t="n">
        <v>127</v>
      </c>
      <c r="N19" s="11" t="s">
        <v>91</v>
      </c>
      <c r="O19" s="11" t="s">
        <v>92</v>
      </c>
      <c r="P19" s="6" t="s">
        <v>98</v>
      </c>
    </row>
    <row r="21" customFormat="false" ht="27.75" hidden="false" customHeight="true" outlineLevel="0" collapsed="false">
      <c r="A21" s="20" t="s">
        <v>99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</row>
  </sheetData>
  <mergeCells count="1">
    <mergeCell ref="A21:P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100</v>
      </c>
    </row>
    <row r="2" customFormat="false" ht="15" hidden="false" customHeight="false" outlineLevel="0" collapsed="false">
      <c r="A2" s="2" t="s">
        <v>101</v>
      </c>
    </row>
    <row r="4" customFormat="false" ht="42" hidden="false" customHeight="true" outlineLevel="0" collapsed="false">
      <c r="A4" s="3" t="s">
        <v>102</v>
      </c>
      <c r="B4" s="3" t="s">
        <v>103</v>
      </c>
      <c r="C4" s="3" t="s">
        <v>104</v>
      </c>
      <c r="D4" s="3" t="s">
        <v>105</v>
      </c>
      <c r="E4" s="3" t="s">
        <v>106</v>
      </c>
      <c r="F4" s="3" t="s">
        <v>107</v>
      </c>
      <c r="G4" s="3" t="s">
        <v>108</v>
      </c>
      <c r="H4" s="3" t="s">
        <v>109</v>
      </c>
    </row>
    <row r="5" customFormat="false" ht="43.5" hidden="false" customHeight="true" outlineLevel="0" collapsed="false">
      <c r="A5" s="11" t="s">
        <v>110</v>
      </c>
      <c r="B5" s="11" t="s">
        <v>111</v>
      </c>
      <c r="C5" s="11" t="s">
        <v>112</v>
      </c>
      <c r="D5" s="16" t="n">
        <f aca="false">247_base!$B$19*(1+settings!$B$5)</f>
        <v>1.2903</v>
      </c>
      <c r="E5" s="19" t="n">
        <f aca="false">247_base!$B$18*(1+settings!$B$5)</f>
        <v>36.828</v>
      </c>
      <c r="F5" s="16" t="n">
        <f aca="false">D5*(1-settings!$B$6)</f>
        <v>0.90321</v>
      </c>
      <c r="G5" s="19" t="n">
        <f aca="false">E5*(1-settings!$B$6)</f>
        <v>25.7796</v>
      </c>
      <c r="H5" s="6" t="s">
        <v>113</v>
      </c>
    </row>
    <row r="6" customFormat="false" ht="23.85" hidden="false" customHeight="false" outlineLevel="0" collapsed="false">
      <c r="A6" s="11" t="s">
        <v>114</v>
      </c>
      <c r="B6" s="11" t="s">
        <v>115</v>
      </c>
      <c r="C6" s="11" t="s">
        <v>116</v>
      </c>
      <c r="D6" s="19" t="n">
        <f aca="false">247_base!$B$20*(1+settings!$B$5)</f>
        <v>0.418</v>
      </c>
      <c r="E6" s="19" t="n">
        <v>0</v>
      </c>
      <c r="F6" s="19" t="n">
        <f aca="false">D6*(1-settings!$B$6)</f>
        <v>0.2926</v>
      </c>
      <c r="G6" s="19" t="n">
        <v>0</v>
      </c>
      <c r="H6" s="6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</row>
    <row r="4" customFormat="false" ht="30" hidden="false" customHeight="true" outlineLevel="0" collapsed="false">
      <c r="A4" s="3" t="s">
        <v>120</v>
      </c>
      <c r="B4" s="3" t="s">
        <v>121</v>
      </c>
      <c r="C4" s="3" t="s">
        <v>122</v>
      </c>
      <c r="D4" s="3" t="s">
        <v>34</v>
      </c>
    </row>
    <row r="5" customFormat="false" ht="15" hidden="false" customHeight="false" outlineLevel="0" collapsed="false">
      <c r="A5" s="4" t="s">
        <v>45</v>
      </c>
      <c r="B5" s="19" t="n">
        <f aca="false">247_base!$B$17*(1+settings!$B$5)</f>
        <v>17.886</v>
      </c>
      <c r="C5" s="19" t="n">
        <f aca="false">B5*(1-settings!$B$6)</f>
        <v>12.5202</v>
      </c>
      <c r="D5" s="6" t="s">
        <v>123</v>
      </c>
    </row>
    <row r="6" customFormat="false" ht="15" hidden="false" customHeight="false" outlineLevel="0" collapsed="false">
      <c r="A6" s="4" t="s">
        <v>53</v>
      </c>
      <c r="B6" s="19" t="n">
        <f aca="false">247_base!$B$21*(1+settings!$B$5)</f>
        <v>2.75</v>
      </c>
      <c r="C6" s="19" t="n">
        <f aca="false">B6*(1-settings!$B$6)</f>
        <v>1.925</v>
      </c>
      <c r="D6" s="6" t="s">
        <v>124</v>
      </c>
    </row>
    <row r="7" customFormat="false" ht="15" hidden="false" customHeight="false" outlineLevel="0" collapsed="false">
      <c r="A7" s="4" t="s">
        <v>55</v>
      </c>
      <c r="B7" s="19" t="n">
        <f aca="false">247_base!$B$22*(1+settings!$B$5)</f>
        <v>34.43</v>
      </c>
      <c r="C7" s="19" t="n">
        <f aca="false">B7*(1-settings!$B$6)</f>
        <v>24.101</v>
      </c>
      <c r="D7" s="6" t="s">
        <v>125</v>
      </c>
    </row>
    <row r="8" customFormat="false" ht="23.85" hidden="false" customHeight="false" outlineLevel="0" collapsed="false">
      <c r="A8" s="4" t="s">
        <v>126</v>
      </c>
      <c r="B8" s="23" t="n">
        <v>30</v>
      </c>
      <c r="C8" s="11"/>
      <c r="D8" s="6" t="s">
        <v>127</v>
      </c>
    </row>
    <row r="9" customFormat="false" ht="15" hidden="false" customHeight="false" outlineLevel="0" collapsed="false">
      <c r="A9" s="4" t="s">
        <v>128</v>
      </c>
      <c r="B9" s="13" t="n">
        <v>25</v>
      </c>
      <c r="C9" s="11"/>
      <c r="D9" s="6" t="s">
        <v>129</v>
      </c>
    </row>
    <row r="10" customFormat="false" ht="15" hidden="false" customHeight="false" outlineLevel="0" collapsed="false">
      <c r="A10" s="4" t="s">
        <v>130</v>
      </c>
      <c r="B10" s="23" t="n">
        <v>0</v>
      </c>
      <c r="C10" s="11"/>
      <c r="D10" s="6" t="s">
        <v>131</v>
      </c>
    </row>
    <row r="11" customFormat="false" ht="15" hidden="false" customHeight="false" outlineLevel="0" collapsed="false">
      <c r="A11" s="4" t="s">
        <v>132</v>
      </c>
      <c r="B11" s="24" t="s">
        <v>133</v>
      </c>
      <c r="C11" s="11"/>
      <c r="D11" s="6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135</v>
      </c>
    </row>
    <row r="2" customFormat="false" ht="15" hidden="false" customHeight="false" outlineLevel="0" collapsed="false">
      <c r="A2" s="2" t="s">
        <v>136</v>
      </c>
    </row>
    <row r="4" customFormat="false" ht="30" hidden="false" customHeight="true" outlineLevel="0" collapsed="false">
      <c r="A4" s="3" t="s">
        <v>137</v>
      </c>
      <c r="B4" s="3" t="s">
        <v>138</v>
      </c>
      <c r="C4" s="3" t="s">
        <v>69</v>
      </c>
      <c r="D4" s="3" t="s">
        <v>34</v>
      </c>
    </row>
    <row r="5" customFormat="false" ht="23.85" hidden="false" customHeight="false" outlineLevel="0" collapsed="false">
      <c r="A5" s="22" t="n">
        <v>11</v>
      </c>
      <c r="B5" s="25" t="n">
        <f aca="false">247_base!$B$23</f>
        <v>1</v>
      </c>
      <c r="C5" s="11" t="s">
        <v>139</v>
      </c>
      <c r="D5" s="6" t="s">
        <v>140</v>
      </c>
    </row>
    <row r="6" customFormat="false" ht="23.85" hidden="false" customHeight="false" outlineLevel="0" collapsed="false">
      <c r="A6" s="22" t="n">
        <v>7</v>
      </c>
      <c r="B6" s="25" t="n">
        <f aca="false">247_base!$B$24</f>
        <v>1.14</v>
      </c>
      <c r="C6" s="11" t="s">
        <v>141</v>
      </c>
      <c r="D6" s="6" t="s">
        <v>140</v>
      </c>
    </row>
    <row r="7" customFormat="false" ht="23.85" hidden="false" customHeight="false" outlineLevel="0" collapsed="false">
      <c r="A7" s="22" t="n">
        <v>4</v>
      </c>
      <c r="B7" s="25" t="n">
        <f aca="false">247_base!$B$25</f>
        <v>1.711</v>
      </c>
      <c r="C7" s="11" t="s">
        <v>142</v>
      </c>
      <c r="D7" s="6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143</v>
      </c>
    </row>
    <row r="2" customFormat="false" ht="15" hidden="false" customHeight="false" outlineLevel="0" collapsed="false">
      <c r="A2" s="2" t="s">
        <v>144</v>
      </c>
    </row>
    <row r="4" customFormat="false" ht="30" hidden="false" customHeight="true" outlineLevel="0" collapsed="false">
      <c r="A4" s="3" t="s">
        <v>145</v>
      </c>
      <c r="B4" s="3" t="s">
        <v>146</v>
      </c>
      <c r="C4" s="3" t="s">
        <v>147</v>
      </c>
    </row>
    <row r="5" customFormat="false" ht="45" hidden="false" customHeight="true" outlineLevel="0" collapsed="false">
      <c r="A5" s="11" t="s">
        <v>148</v>
      </c>
      <c r="B5" s="4" t="s">
        <v>149</v>
      </c>
      <c r="C5" s="6" t="s">
        <v>150</v>
      </c>
    </row>
    <row r="6" customFormat="false" ht="45" hidden="false" customHeight="true" outlineLevel="0" collapsed="false">
      <c r="A6" s="11" t="s">
        <v>151</v>
      </c>
      <c r="B6" s="4" t="s">
        <v>152</v>
      </c>
      <c r="C6" s="6" t="s">
        <v>153</v>
      </c>
    </row>
    <row r="7" customFormat="false" ht="75" hidden="false" customHeight="true" outlineLevel="0" collapsed="false">
      <c r="A7" s="11" t="s">
        <v>154</v>
      </c>
      <c r="B7" s="4" t="s">
        <v>155</v>
      </c>
      <c r="C7" s="6" t="s">
        <v>156</v>
      </c>
    </row>
    <row r="8" customFormat="false" ht="45" hidden="false" customHeight="true" outlineLevel="0" collapsed="false">
      <c r="A8" s="11" t="s">
        <v>157</v>
      </c>
      <c r="B8" s="4" t="s">
        <v>158</v>
      </c>
      <c r="C8" s="6" t="s">
        <v>159</v>
      </c>
    </row>
    <row r="9" customFormat="false" ht="75" hidden="false" customHeight="true" outlineLevel="0" collapsed="false">
      <c r="A9" s="11" t="s">
        <v>160</v>
      </c>
      <c r="B9" s="4" t="s">
        <v>161</v>
      </c>
      <c r="C9" s="6" t="s">
        <v>162</v>
      </c>
    </row>
    <row r="10" customFormat="false" ht="30" hidden="false" customHeight="true" outlineLevel="0" collapsed="false">
      <c r="A10" s="11" t="s">
        <v>163</v>
      </c>
      <c r="B10" s="4" t="s">
        <v>164</v>
      </c>
      <c r="C10" s="6" t="s">
        <v>165</v>
      </c>
    </row>
    <row r="11" customFormat="false" ht="30" hidden="false" customHeight="true" outlineLevel="0" collapsed="false">
      <c r="A11" s="11" t="s">
        <v>166</v>
      </c>
      <c r="B11" s="4" t="s">
        <v>167</v>
      </c>
      <c r="C11" s="6" t="s">
        <v>168</v>
      </c>
    </row>
    <row r="12" customFormat="false" ht="30" hidden="false" customHeight="true" outlineLevel="0" collapsed="false">
      <c r="A12" s="11" t="s">
        <v>169</v>
      </c>
      <c r="B12" s="4" t="s">
        <v>170</v>
      </c>
      <c r="C12" s="6" t="s">
        <v>171</v>
      </c>
    </row>
    <row r="13" customFormat="false" ht="45" hidden="false" customHeight="true" outlineLevel="0" collapsed="false">
      <c r="A13" s="11" t="s">
        <v>172</v>
      </c>
      <c r="B13" s="4" t="s">
        <v>173</v>
      </c>
      <c r="C13" s="6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2026-09-26T21:58:38Z</dcterms:created>
  <dc:creator>openpyxl</dc:creator>
  <dc:description/>
  <dc:language>en-US</dc:language>
  <cp:lastModifiedBy/>
  <dcterms:modified xsi:type="dcterms:W3CDTF">2026-09-26T21:58:38Z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